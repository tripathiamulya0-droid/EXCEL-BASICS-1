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7BDC9195-5234-4938-9D89-BA8F18139C0A}" xr6:coauthVersionLast="47" xr6:coauthVersionMax="47" xr10:uidLastSave="{00000000-0000-0000-0000-000000000000}"/>
  <bookViews>
    <workbookView xWindow="-108" yWindow="-108" windowWidth="23256" windowHeight="12456" xr2:uid="{44CFE765-A3F9-4E3B-A91C-478584C2F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1" l="1"/>
  <c r="K25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23" i="1"/>
  <c r="A18" i="1"/>
  <c r="A8" i="1"/>
</calcChain>
</file>

<file path=xl/sharedStrings.xml><?xml version="1.0" encoding="utf-8"?>
<sst xmlns="http://schemas.openxmlformats.org/spreadsheetml/2006/main" count="191" uniqueCount="99">
  <si>
    <t>PRICE</t>
  </si>
  <si>
    <t>CAR</t>
  </si>
  <si>
    <t>BICYCLE</t>
  </si>
  <si>
    <t>AUTO - RICKSHAW</t>
  </si>
  <si>
    <r>
      <rPr>
        <b/>
        <sz val="11"/>
        <color theme="1"/>
        <rFont val="Calibri"/>
        <family val="2"/>
        <scheme val="minor"/>
      </rPr>
      <t>VEHICLE</t>
    </r>
    <r>
      <rPr>
        <sz val="11"/>
        <color theme="1"/>
        <rFont val="Calibri"/>
        <family val="2"/>
        <scheme val="minor"/>
      </rPr>
      <t xml:space="preserve"> </t>
    </r>
  </si>
  <si>
    <t xml:space="preserve">TOTAL SALES = </t>
  </si>
  <si>
    <t>IGNORE AUTO RICKSHAW</t>
  </si>
  <si>
    <t>Q3)</t>
  </si>
  <si>
    <t xml:space="preserve">Q2) </t>
  </si>
  <si>
    <t>ITEM</t>
  </si>
  <si>
    <t>SALES</t>
  </si>
  <si>
    <t>Item A</t>
  </si>
  <si>
    <t>Item B</t>
  </si>
  <si>
    <t>Item C</t>
  </si>
  <si>
    <t>AVERAGE =</t>
  </si>
  <si>
    <t>IGNORE Item A VALUES</t>
  </si>
  <si>
    <t>Q4 TO Q8)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</si>
  <si>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</si>
  <si>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</si>
  <si>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</si>
  <si>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</si>
  <si>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</si>
  <si>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</si>
  <si>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</si>
  <si>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</si>
  <si>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</si>
  <si>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</si>
  <si>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</si>
  <si>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</si>
  <si>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</si>
  <si>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</si>
  <si>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</si>
  <si>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</si>
  <si>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</si>
  <si>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</si>
  <si>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</si>
  <si>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</si>
  <si>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</si>
  <si>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</si>
  <si>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</si>
  <si>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</si>
  <si>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</si>
  <si>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</si>
  <si>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</si>
  <si>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</si>
  <si>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</si>
  <si>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</si>
  <si>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</si>
  <si>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</si>
  <si>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</si>
  <si>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</si>
  <si>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</si>
  <si>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</si>
  <si>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</si>
  <si>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</si>
  <si>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</si>
  <si>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</si>
  <si>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</si>
  <si>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</si>
  <si>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</si>
  <si>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</si>
  <si>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</si>
  <si>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</si>
  <si>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</si>
  <si>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</si>
  <si>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</si>
  <si>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</si>
  <si>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</si>
  <si>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</si>
  <si>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</si>
  <si>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</si>
  <si>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</si>
  <si>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</si>
  <si>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</si>
  <si>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</si>
  <si>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</si>
  <si>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</si>
  <si>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</si>
  <si>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</si>
  <si>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</si>
  <si>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</si>
  <si>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</si>
  <si>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</si>
  <si>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</si>
  <si>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Q6) - SALES OF NOTEBOOK IN THA NORTH REGION</t>
  </si>
  <si>
    <t>PRODUCT</t>
  </si>
  <si>
    <t>REGION</t>
  </si>
  <si>
    <t>NOTEBOOK</t>
  </si>
  <si>
    <t>NORTH</t>
  </si>
  <si>
    <t>Q7) COLUMN CHART</t>
  </si>
  <si>
    <t>Q6) -</t>
  </si>
  <si>
    <t>Q8)-</t>
  </si>
  <si>
    <t>TOTAL SALES - NOTEBOOK (NORTH REGION)</t>
  </si>
  <si>
    <t xml:space="preserve">Q4) -  </t>
  </si>
  <si>
    <t>TOTAL CUSTOMER NAMES</t>
  </si>
  <si>
    <t>Q5) -</t>
  </si>
  <si>
    <t>TOTAL SALES OF EACH ROW</t>
  </si>
  <si>
    <t>ANSWER</t>
  </si>
  <si>
    <t>Q7)-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</si>
</sst>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wrapText="1"/>
    </xf>
    <xf numFmtId="0" fontId="0" fillId="2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14" fontId="3" fillId="4" borderId="1" xfId="0" applyNumberFormat="1" applyFont="1" applyFill="1" applyBorder="1" applyAlignment="1">
      <alignment horizontal="right" wrapText="1"/>
    </xf>
    <xf numFmtId="0" fontId="0" fillId="4" borderId="1" xfId="0" applyFill="1" applyBorder="1"/>
    <xf numFmtId="0" fontId="0" fillId="5" borderId="0" xfId="0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1" fillId="6" borderId="1" xfId="0" applyFont="1" applyFill="1" applyBorder="1"/>
    <xf numFmtId="0" fontId="1" fillId="7" borderId="0" xfId="0" applyFont="1" applyFill="1"/>
    <xf numFmtId="0" fontId="0" fillId="0" borderId="0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37051618547681"/>
          <c:y val="0.13004629629629633"/>
          <c:w val="0.85002690288713911"/>
          <c:h val="0.59832276173811605"/>
        </c:manualLayout>
      </c:layout>
      <c:lineChart>
        <c:grouping val="standard"/>
        <c:varyColors val="0"/>
        <c:ser>
          <c:idx val="0"/>
          <c:order val="0"/>
          <c:tx>
            <c:strRef>
              <c:f>Sheet1!$H$22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Sheet1!$G$23:$G$72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Sheet1!$H$23:$H$72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E-44C3-8D43-2286A8C5E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586944"/>
        <c:axId val="1631585984"/>
      </c:lineChart>
      <c:dateAx>
        <c:axId val="1631586944"/>
        <c:scaling>
          <c:orientation val="minMax"/>
        </c:scaling>
        <c:delete val="0"/>
        <c:axPos val="b"/>
        <c:title>
          <c:layout>
            <c:manualLayout>
              <c:xMode val="edge"/>
              <c:yMode val="edge"/>
              <c:x val="0.39623118985126859"/>
              <c:y val="0.921296296296296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585984"/>
        <c:crosses val="autoZero"/>
        <c:auto val="1"/>
        <c:lblOffset val="100"/>
        <c:baseTimeUnit val="days"/>
      </c:dateAx>
      <c:valAx>
        <c:axId val="163158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58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18018114604055"/>
          <c:y val="0.14270554378672212"/>
          <c:w val="0.89019685039370078"/>
          <c:h val="0.592113954505686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Sheet1!$H$22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Sheet1!$D$23:$D$72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Sheet1!$H$23:$H$72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D-4A91-86ED-58FC13F8F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60684464"/>
        <c:axId val="1460706064"/>
      </c:barChart>
      <c:catAx>
        <c:axId val="146068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/>
                  <a:t>PRODUCT</a:t>
                </a:r>
                <a:r>
                  <a:rPr lang="en-IN" sz="1050" b="1" baseline="0"/>
                  <a:t> NAME</a:t>
                </a:r>
                <a:endParaRPr lang="en-IN" sz="1050" b="1"/>
              </a:p>
            </c:rich>
          </c:tx>
          <c:layout>
            <c:manualLayout>
              <c:xMode val="edge"/>
              <c:yMode val="edge"/>
              <c:x val="0.37381443053355096"/>
              <c:y val="0.919140120175333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06064"/>
        <c:crosses val="autoZero"/>
        <c:auto val="1"/>
        <c:lblAlgn val="ctr"/>
        <c:lblOffset val="100"/>
        <c:noMultiLvlLbl val="0"/>
      </c:catAx>
      <c:valAx>
        <c:axId val="146070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/>
                  <a:t>TOTAL</a:t>
                </a:r>
                <a:r>
                  <a:rPr lang="en-IN" sz="1050" b="1" baseline="0"/>
                  <a:t> SALES</a:t>
                </a:r>
                <a:endParaRPr lang="en-IN" sz="1050" b="1"/>
              </a:p>
            </c:rich>
          </c:tx>
          <c:layout>
            <c:manualLayout>
              <c:xMode val="edge"/>
              <c:yMode val="edge"/>
              <c:x val="7.5642965204236008E-3"/>
              <c:y val="0.29781099697563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68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50</xdr:row>
      <xdr:rowOff>26670</xdr:rowOff>
    </xdr:from>
    <xdr:to>
      <xdr:col>16</xdr:col>
      <xdr:colOff>289560</xdr:colOff>
      <xdr:row>64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68498A-95A6-F7EB-701F-3C582E726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335280</xdr:colOff>
      <xdr:row>30</xdr:row>
      <xdr:rowOff>137160</xdr:rowOff>
    </xdr:from>
    <xdr:to>
      <xdr:col>16</xdr:col>
      <xdr:colOff>327660</xdr:colOff>
      <xdr:row>46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361073-8287-369A-DF86-691296905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465C-5B0C-469D-ACB8-B884A5922047}">
  <dimension ref="A1:M77"/>
  <sheetViews>
    <sheetView tabSelected="1" topLeftCell="A6" workbookViewId="0">
      <selection activeCell="L29" sqref="L29"/>
    </sheetView>
  </sheetViews>
  <sheetFormatPr defaultRowHeight="14.4" x14ac:dyDescent="0.3"/>
  <cols>
    <col min="1" max="1" width="16.21875" bestFit="1" customWidth="1"/>
    <col min="2" max="2" width="15.6640625" customWidth="1"/>
    <col min="4" max="4" width="11.21875" customWidth="1"/>
    <col min="6" max="6" width="16.21875" customWidth="1"/>
    <col min="7" max="7" width="10.33203125" bestFit="1" customWidth="1"/>
    <col min="8" max="8" width="12.6640625" customWidth="1"/>
    <col min="11" max="11" width="11.33203125" customWidth="1"/>
  </cols>
  <sheetData>
    <row r="1" spans="1:3" x14ac:dyDescent="0.3">
      <c r="A1" s="12" t="s">
        <v>8</v>
      </c>
    </row>
    <row r="2" spans="1:3" x14ac:dyDescent="0.3">
      <c r="A2" s="3" t="s">
        <v>4</v>
      </c>
      <c r="B2" s="4" t="s">
        <v>0</v>
      </c>
    </row>
    <row r="3" spans="1:3" x14ac:dyDescent="0.3">
      <c r="A3" s="3" t="s">
        <v>1</v>
      </c>
      <c r="B3" s="3">
        <v>500000</v>
      </c>
    </row>
    <row r="4" spans="1:3" x14ac:dyDescent="0.3">
      <c r="A4" s="3" t="s">
        <v>2</v>
      </c>
      <c r="B4" s="3">
        <v>10500</v>
      </c>
    </row>
    <row r="5" spans="1:3" x14ac:dyDescent="0.3">
      <c r="A5" s="3" t="s">
        <v>3</v>
      </c>
      <c r="B5" s="3">
        <v>25000</v>
      </c>
    </row>
    <row r="7" spans="1:3" x14ac:dyDescent="0.3">
      <c r="A7" s="12" t="s">
        <v>5</v>
      </c>
    </row>
    <row r="8" spans="1:3" x14ac:dyDescent="0.3">
      <c r="A8">
        <f>SUM(B3:B4)</f>
        <v>510500</v>
      </c>
    </row>
    <row r="9" spans="1:3" x14ac:dyDescent="0.3">
      <c r="A9" t="s">
        <v>6</v>
      </c>
    </row>
    <row r="11" spans="1:3" x14ac:dyDescent="0.3">
      <c r="A11" t="s">
        <v>7</v>
      </c>
    </row>
    <row r="12" spans="1:3" x14ac:dyDescent="0.3">
      <c r="A12" s="5" t="s">
        <v>9</v>
      </c>
      <c r="B12" s="5" t="s">
        <v>0</v>
      </c>
      <c r="C12" s="5" t="s">
        <v>10</v>
      </c>
    </row>
    <row r="13" spans="1:3" x14ac:dyDescent="0.3">
      <c r="A13" s="6" t="s">
        <v>11</v>
      </c>
      <c r="B13" s="6">
        <v>90</v>
      </c>
      <c r="C13" s="6">
        <v>1000</v>
      </c>
    </row>
    <row r="14" spans="1:3" x14ac:dyDescent="0.3">
      <c r="A14" s="6" t="s">
        <v>12</v>
      </c>
      <c r="B14" s="6">
        <v>150</v>
      </c>
      <c r="C14" s="6">
        <v>1200</v>
      </c>
    </row>
    <row r="15" spans="1:3" x14ac:dyDescent="0.3">
      <c r="A15" s="6" t="s">
        <v>13</v>
      </c>
      <c r="B15" s="6">
        <v>250</v>
      </c>
      <c r="C15" s="6">
        <v>1500</v>
      </c>
    </row>
    <row r="17" spans="1:13" x14ac:dyDescent="0.3">
      <c r="A17" s="12" t="s">
        <v>14</v>
      </c>
    </row>
    <row r="18" spans="1:13" x14ac:dyDescent="0.3">
      <c r="A18">
        <f>AVERAGE(C14:C15)</f>
        <v>1350</v>
      </c>
    </row>
    <row r="19" spans="1:13" x14ac:dyDescent="0.3">
      <c r="A19" t="s">
        <v>15</v>
      </c>
    </row>
    <row r="21" spans="1:13" x14ac:dyDescent="0.3">
      <c r="A21" s="14" t="s">
        <v>16</v>
      </c>
    </row>
    <row r="22" spans="1:13" x14ac:dyDescent="0.3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21</v>
      </c>
      <c r="F22" s="7" t="s">
        <v>22</v>
      </c>
      <c r="G22" s="7" t="s">
        <v>23</v>
      </c>
      <c r="H22" s="7" t="s">
        <v>83</v>
      </c>
      <c r="J22" s="14" t="s">
        <v>90</v>
      </c>
      <c r="K22" s="2" t="s">
        <v>85</v>
      </c>
      <c r="L22" s="2" t="s">
        <v>86</v>
      </c>
    </row>
    <row r="23" spans="1:13" x14ac:dyDescent="0.3">
      <c r="A23" s="8">
        <v>1001</v>
      </c>
      <c r="B23" s="9" t="s">
        <v>24</v>
      </c>
      <c r="C23" s="9" t="s">
        <v>25</v>
      </c>
      <c r="D23" s="9" t="s">
        <v>26</v>
      </c>
      <c r="E23" s="8">
        <v>10</v>
      </c>
      <c r="F23" s="8">
        <v>50</v>
      </c>
      <c r="G23" s="10">
        <v>45296</v>
      </c>
      <c r="H23" s="11">
        <f>E23*F23</f>
        <v>500</v>
      </c>
      <c r="K23" t="s">
        <v>87</v>
      </c>
      <c r="L23" t="s">
        <v>88</v>
      </c>
    </row>
    <row r="24" spans="1:13" x14ac:dyDescent="0.3">
      <c r="A24" s="8">
        <v>1002</v>
      </c>
      <c r="B24" s="9" t="s">
        <v>27</v>
      </c>
      <c r="C24" s="9" t="s">
        <v>28</v>
      </c>
      <c r="D24" s="9" t="s">
        <v>29</v>
      </c>
      <c r="E24" s="8">
        <v>20</v>
      </c>
      <c r="F24" s="8">
        <v>10</v>
      </c>
      <c r="G24" s="10">
        <v>45297</v>
      </c>
      <c r="H24" s="11">
        <f>E24*F24</f>
        <v>200</v>
      </c>
      <c r="I24" s="12"/>
      <c r="J24" s="12"/>
      <c r="K24" s="13" t="s">
        <v>92</v>
      </c>
      <c r="L24" s="12"/>
      <c r="M24" s="12"/>
    </row>
    <row r="25" spans="1:13" x14ac:dyDescent="0.3">
      <c r="A25" s="8">
        <v>1003</v>
      </c>
      <c r="B25" s="9" t="s">
        <v>30</v>
      </c>
      <c r="C25" s="9" t="s">
        <v>31</v>
      </c>
      <c r="D25" s="9" t="s">
        <v>32</v>
      </c>
      <c r="E25" s="8">
        <v>15</v>
      </c>
      <c r="F25" s="8">
        <v>25</v>
      </c>
      <c r="G25" s="10">
        <v>45298</v>
      </c>
      <c r="H25" s="11">
        <f>E25*F25</f>
        <v>375</v>
      </c>
      <c r="K25" s="1">
        <f>SUMIFS(H23:H72,D23:D72, "NOTEBOOK",C23:C72, "NORTH")</f>
        <v>2900</v>
      </c>
    </row>
    <row r="26" spans="1:13" x14ac:dyDescent="0.3">
      <c r="A26" s="8">
        <v>1004</v>
      </c>
      <c r="B26" s="9" t="s">
        <v>33</v>
      </c>
      <c r="C26" s="9" t="s">
        <v>34</v>
      </c>
      <c r="D26" s="9" t="s">
        <v>26</v>
      </c>
      <c r="E26" s="8">
        <v>5</v>
      </c>
      <c r="F26" s="8">
        <v>50</v>
      </c>
      <c r="G26" s="10">
        <v>45299</v>
      </c>
      <c r="H26" s="11">
        <f>E26*F26</f>
        <v>250</v>
      </c>
    </row>
    <row r="27" spans="1:13" x14ac:dyDescent="0.3">
      <c r="A27" s="8">
        <v>1005</v>
      </c>
      <c r="B27" s="9" t="s">
        <v>35</v>
      </c>
      <c r="C27" s="9" t="s">
        <v>25</v>
      </c>
      <c r="D27" s="9" t="s">
        <v>36</v>
      </c>
      <c r="E27" s="8">
        <v>30</v>
      </c>
      <c r="F27" s="8">
        <v>5</v>
      </c>
      <c r="G27" s="10">
        <v>45301</v>
      </c>
      <c r="H27" s="11">
        <f>E27*F27</f>
        <v>150</v>
      </c>
    </row>
    <row r="28" spans="1:13" x14ac:dyDescent="0.3">
      <c r="A28" s="8">
        <v>1006</v>
      </c>
      <c r="B28" s="9" t="s">
        <v>37</v>
      </c>
      <c r="C28" s="9" t="s">
        <v>28</v>
      </c>
      <c r="D28" s="9" t="s">
        <v>26</v>
      </c>
      <c r="E28" s="8">
        <v>12</v>
      </c>
      <c r="F28" s="8">
        <v>50</v>
      </c>
      <c r="G28" s="10">
        <v>45302</v>
      </c>
      <c r="H28" s="11">
        <f>E28*F28</f>
        <v>600</v>
      </c>
    </row>
    <row r="29" spans="1:13" x14ac:dyDescent="0.3">
      <c r="A29" s="8">
        <v>1007</v>
      </c>
      <c r="B29" s="9" t="s">
        <v>38</v>
      </c>
      <c r="C29" s="9" t="s">
        <v>31</v>
      </c>
      <c r="D29" s="9" t="s">
        <v>39</v>
      </c>
      <c r="E29" s="8">
        <v>25</v>
      </c>
      <c r="F29" s="8">
        <v>8</v>
      </c>
      <c r="G29" s="10">
        <v>45304</v>
      </c>
      <c r="H29" s="11">
        <f>E29*F29</f>
        <v>200</v>
      </c>
      <c r="K29" s="17"/>
    </row>
    <row r="30" spans="1:13" x14ac:dyDescent="0.3">
      <c r="A30" s="8">
        <v>1008</v>
      </c>
      <c r="B30" s="9" t="s">
        <v>40</v>
      </c>
      <c r="C30" s="9" t="s">
        <v>34</v>
      </c>
      <c r="D30" s="9" t="s">
        <v>29</v>
      </c>
      <c r="E30" s="8">
        <v>18</v>
      </c>
      <c r="F30" s="8">
        <v>10</v>
      </c>
      <c r="G30" s="10">
        <v>45306</v>
      </c>
      <c r="H30" s="11">
        <f>E30*F30</f>
        <v>180</v>
      </c>
      <c r="J30" s="16" t="s">
        <v>98</v>
      </c>
    </row>
    <row r="31" spans="1:13" x14ac:dyDescent="0.3">
      <c r="A31" s="8">
        <v>1009</v>
      </c>
      <c r="B31" s="9" t="s">
        <v>41</v>
      </c>
      <c r="C31" s="9" t="s">
        <v>25</v>
      </c>
      <c r="D31" s="9" t="s">
        <v>32</v>
      </c>
      <c r="E31" s="8">
        <v>22</v>
      </c>
      <c r="F31" s="8">
        <v>25</v>
      </c>
      <c r="G31" s="10">
        <v>45308</v>
      </c>
      <c r="H31" s="11">
        <f>E31*F31</f>
        <v>550</v>
      </c>
    </row>
    <row r="32" spans="1:13" x14ac:dyDescent="0.3">
      <c r="A32" s="8">
        <v>1010</v>
      </c>
      <c r="B32" s="9" t="s">
        <v>42</v>
      </c>
      <c r="C32" s="9" t="s">
        <v>28</v>
      </c>
      <c r="D32" s="9" t="s">
        <v>26</v>
      </c>
      <c r="E32" s="8">
        <v>8</v>
      </c>
      <c r="F32" s="8">
        <v>50</v>
      </c>
      <c r="G32" s="10">
        <v>45309</v>
      </c>
      <c r="H32" s="11">
        <f>E32*F32</f>
        <v>400</v>
      </c>
    </row>
    <row r="33" spans="1:11" x14ac:dyDescent="0.3">
      <c r="A33" s="8">
        <v>1011</v>
      </c>
      <c r="B33" s="9" t="s">
        <v>43</v>
      </c>
      <c r="C33" s="9" t="s">
        <v>31</v>
      </c>
      <c r="D33" s="9" t="s">
        <v>36</v>
      </c>
      <c r="E33" s="8">
        <v>40</v>
      </c>
      <c r="F33" s="8">
        <v>5</v>
      </c>
      <c r="G33" s="10">
        <v>45310</v>
      </c>
      <c r="H33" s="11">
        <f>E33*F33</f>
        <v>200</v>
      </c>
    </row>
    <row r="34" spans="1:11" x14ac:dyDescent="0.3">
      <c r="A34" s="8">
        <v>1012</v>
      </c>
      <c r="B34" s="9" t="s">
        <v>44</v>
      </c>
      <c r="C34" s="9" t="s">
        <v>34</v>
      </c>
      <c r="D34" s="9" t="s">
        <v>39</v>
      </c>
      <c r="E34" s="8">
        <v>35</v>
      </c>
      <c r="F34" s="8">
        <v>8</v>
      </c>
      <c r="G34" s="10">
        <v>45311</v>
      </c>
      <c r="H34" s="11">
        <f>E34*F34</f>
        <v>280</v>
      </c>
    </row>
    <row r="35" spans="1:11" x14ac:dyDescent="0.3">
      <c r="A35" s="8">
        <v>1013</v>
      </c>
      <c r="B35" s="9" t="s">
        <v>45</v>
      </c>
      <c r="C35" s="9" t="s">
        <v>25</v>
      </c>
      <c r="D35" s="9" t="s">
        <v>26</v>
      </c>
      <c r="E35" s="8">
        <v>14</v>
      </c>
      <c r="F35" s="8">
        <v>50</v>
      </c>
      <c r="G35" s="10">
        <v>45313</v>
      </c>
      <c r="H35" s="11">
        <f>E35*F35</f>
        <v>700</v>
      </c>
    </row>
    <row r="36" spans="1:11" x14ac:dyDescent="0.3">
      <c r="A36" s="8">
        <v>1014</v>
      </c>
      <c r="B36" s="9" t="s">
        <v>46</v>
      </c>
      <c r="C36" s="9" t="s">
        <v>28</v>
      </c>
      <c r="D36" s="9" t="s">
        <v>29</v>
      </c>
      <c r="E36" s="8">
        <v>28</v>
      </c>
      <c r="F36" s="8">
        <v>10</v>
      </c>
      <c r="G36" s="10">
        <v>45314</v>
      </c>
      <c r="H36" s="11">
        <f>E36*F36</f>
        <v>280</v>
      </c>
    </row>
    <row r="37" spans="1:11" x14ac:dyDescent="0.3">
      <c r="A37" s="8">
        <v>1015</v>
      </c>
      <c r="B37" s="9" t="s">
        <v>47</v>
      </c>
      <c r="C37" s="9" t="s">
        <v>31</v>
      </c>
      <c r="D37" s="9" t="s">
        <v>32</v>
      </c>
      <c r="E37" s="8">
        <v>12</v>
      </c>
      <c r="F37" s="8">
        <v>25</v>
      </c>
      <c r="G37" s="10">
        <v>45315</v>
      </c>
      <c r="H37" s="11">
        <f>E37*F37</f>
        <v>300</v>
      </c>
    </row>
    <row r="38" spans="1:11" x14ac:dyDescent="0.3">
      <c r="A38" s="8">
        <v>1016</v>
      </c>
      <c r="B38" s="9" t="s">
        <v>48</v>
      </c>
      <c r="C38" s="9" t="s">
        <v>34</v>
      </c>
      <c r="D38" s="9" t="s">
        <v>36</v>
      </c>
      <c r="E38" s="8">
        <v>25</v>
      </c>
      <c r="F38" s="8">
        <v>5</v>
      </c>
      <c r="G38" s="10">
        <v>45317</v>
      </c>
      <c r="H38" s="11">
        <f>E38*F38</f>
        <v>125</v>
      </c>
    </row>
    <row r="39" spans="1:11" x14ac:dyDescent="0.3">
      <c r="A39" s="8">
        <v>1017</v>
      </c>
      <c r="B39" s="9" t="s">
        <v>49</v>
      </c>
      <c r="C39" s="9" t="s">
        <v>25</v>
      </c>
      <c r="D39" s="9" t="s">
        <v>39</v>
      </c>
      <c r="E39" s="8">
        <v>20</v>
      </c>
      <c r="F39" s="8">
        <v>8</v>
      </c>
      <c r="G39" s="10">
        <v>45319</v>
      </c>
      <c r="H39" s="11">
        <f>E39*F39</f>
        <v>160</v>
      </c>
      <c r="K39" s="1"/>
    </row>
    <row r="40" spans="1:11" x14ac:dyDescent="0.3">
      <c r="A40" s="8">
        <v>1018</v>
      </c>
      <c r="B40" s="9" t="s">
        <v>50</v>
      </c>
      <c r="C40" s="9" t="s">
        <v>28</v>
      </c>
      <c r="D40" s="9" t="s">
        <v>26</v>
      </c>
      <c r="E40" s="8">
        <v>10</v>
      </c>
      <c r="F40" s="8">
        <v>50</v>
      </c>
      <c r="G40" s="10">
        <v>45320</v>
      </c>
      <c r="H40" s="11">
        <f>E40*F40</f>
        <v>500</v>
      </c>
    </row>
    <row r="41" spans="1:11" x14ac:dyDescent="0.3">
      <c r="A41" s="8">
        <v>1019</v>
      </c>
      <c r="B41" s="9" t="s">
        <v>51</v>
      </c>
      <c r="C41" s="9" t="s">
        <v>31</v>
      </c>
      <c r="D41" s="9" t="s">
        <v>29</v>
      </c>
      <c r="E41" s="8">
        <v>15</v>
      </c>
      <c r="F41" s="8">
        <v>10</v>
      </c>
      <c r="G41" s="10">
        <v>45321</v>
      </c>
      <c r="H41" s="11">
        <f>E41*F41</f>
        <v>150</v>
      </c>
    </row>
    <row r="42" spans="1:11" x14ac:dyDescent="0.3">
      <c r="A42" s="8">
        <v>1020</v>
      </c>
      <c r="B42" s="9" t="s">
        <v>52</v>
      </c>
      <c r="C42" s="9" t="s">
        <v>34</v>
      </c>
      <c r="D42" s="9" t="s">
        <v>32</v>
      </c>
      <c r="E42" s="8">
        <v>18</v>
      </c>
      <c r="F42" s="8">
        <v>25</v>
      </c>
      <c r="G42" s="10">
        <v>45323</v>
      </c>
      <c r="H42" s="11">
        <f>E42*F42</f>
        <v>450</v>
      </c>
    </row>
    <row r="43" spans="1:11" x14ac:dyDescent="0.3">
      <c r="A43" s="8">
        <v>1021</v>
      </c>
      <c r="B43" s="9" t="s">
        <v>53</v>
      </c>
      <c r="C43" s="9" t="s">
        <v>25</v>
      </c>
      <c r="D43" s="9" t="s">
        <v>26</v>
      </c>
      <c r="E43" s="8">
        <v>9</v>
      </c>
      <c r="F43" s="8">
        <v>50</v>
      </c>
      <c r="G43" s="10">
        <v>45324</v>
      </c>
      <c r="H43" s="11">
        <f>E43*F43</f>
        <v>450</v>
      </c>
    </row>
    <row r="44" spans="1:11" x14ac:dyDescent="0.3">
      <c r="A44" s="8">
        <v>1022</v>
      </c>
      <c r="B44" s="9" t="s">
        <v>54</v>
      </c>
      <c r="C44" s="9" t="s">
        <v>28</v>
      </c>
      <c r="D44" s="9" t="s">
        <v>36</v>
      </c>
      <c r="E44" s="8">
        <v>35</v>
      </c>
      <c r="F44" s="8">
        <v>5</v>
      </c>
      <c r="G44" s="10">
        <v>45325</v>
      </c>
      <c r="H44" s="11">
        <f>E44*F44</f>
        <v>175</v>
      </c>
    </row>
    <row r="45" spans="1:11" x14ac:dyDescent="0.3">
      <c r="A45" s="8">
        <v>1023</v>
      </c>
      <c r="B45" s="9" t="s">
        <v>55</v>
      </c>
      <c r="C45" s="9" t="s">
        <v>31</v>
      </c>
      <c r="D45" s="9" t="s">
        <v>39</v>
      </c>
      <c r="E45" s="8">
        <v>30</v>
      </c>
      <c r="F45" s="8">
        <v>8</v>
      </c>
      <c r="G45" s="10">
        <v>45326</v>
      </c>
      <c r="H45" s="11">
        <f>E45*F45</f>
        <v>240</v>
      </c>
    </row>
    <row r="46" spans="1:11" x14ac:dyDescent="0.3">
      <c r="A46" s="8">
        <v>1024</v>
      </c>
      <c r="B46" s="9" t="s">
        <v>56</v>
      </c>
      <c r="C46" s="9" t="s">
        <v>34</v>
      </c>
      <c r="D46" s="9" t="s">
        <v>26</v>
      </c>
      <c r="E46" s="8">
        <v>11</v>
      </c>
      <c r="F46" s="8">
        <v>50</v>
      </c>
      <c r="G46" s="10">
        <v>45328</v>
      </c>
      <c r="H46" s="11">
        <f>E46*F46</f>
        <v>550</v>
      </c>
      <c r="K46" s="15"/>
    </row>
    <row r="47" spans="1:11" x14ac:dyDescent="0.3">
      <c r="A47" s="8">
        <v>1025</v>
      </c>
      <c r="B47" s="9" t="s">
        <v>57</v>
      </c>
      <c r="C47" s="9" t="s">
        <v>25</v>
      </c>
      <c r="D47" s="9" t="s">
        <v>29</v>
      </c>
      <c r="E47" s="8">
        <v>14</v>
      </c>
      <c r="F47" s="8">
        <v>10</v>
      </c>
      <c r="G47" s="10">
        <v>45329</v>
      </c>
      <c r="H47" s="11">
        <f>E47*F47</f>
        <v>140</v>
      </c>
    </row>
    <row r="48" spans="1:11" x14ac:dyDescent="0.3">
      <c r="A48" s="8">
        <v>1026</v>
      </c>
      <c r="B48" s="9" t="s">
        <v>58</v>
      </c>
      <c r="C48" s="9" t="s">
        <v>28</v>
      </c>
      <c r="D48" s="9" t="s">
        <v>32</v>
      </c>
      <c r="E48" s="8">
        <v>16</v>
      </c>
      <c r="F48" s="8">
        <v>25</v>
      </c>
      <c r="G48" s="10">
        <v>45330</v>
      </c>
      <c r="H48" s="11">
        <f>E48*F48</f>
        <v>400</v>
      </c>
    </row>
    <row r="49" spans="1:10" x14ac:dyDescent="0.3">
      <c r="A49" s="8">
        <v>1027</v>
      </c>
      <c r="B49" s="9" t="s">
        <v>59</v>
      </c>
      <c r="C49" s="9" t="s">
        <v>31</v>
      </c>
      <c r="D49" s="9" t="s">
        <v>36</v>
      </c>
      <c r="E49" s="8">
        <v>22</v>
      </c>
      <c r="F49" s="8">
        <v>5</v>
      </c>
      <c r="G49" s="10">
        <v>45331</v>
      </c>
      <c r="H49" s="11">
        <f>E49*F49</f>
        <v>110</v>
      </c>
      <c r="J49" s="14" t="s">
        <v>91</v>
      </c>
    </row>
    <row r="50" spans="1:10" x14ac:dyDescent="0.3">
      <c r="A50" s="8">
        <v>1028</v>
      </c>
      <c r="B50" s="9" t="s">
        <v>60</v>
      </c>
      <c r="C50" s="9" t="s">
        <v>34</v>
      </c>
      <c r="D50" s="9" t="s">
        <v>39</v>
      </c>
      <c r="E50" s="8">
        <v>27</v>
      </c>
      <c r="F50" s="8">
        <v>8</v>
      </c>
      <c r="G50" s="10">
        <v>45332</v>
      </c>
      <c r="H50" s="11">
        <f>E50*F50</f>
        <v>216</v>
      </c>
    </row>
    <row r="51" spans="1:10" x14ac:dyDescent="0.3">
      <c r="A51" s="8">
        <v>1029</v>
      </c>
      <c r="B51" s="9" t="s">
        <v>61</v>
      </c>
      <c r="C51" s="9" t="s">
        <v>25</v>
      </c>
      <c r="D51" s="9" t="s">
        <v>26</v>
      </c>
      <c r="E51" s="8">
        <v>13</v>
      </c>
      <c r="F51" s="8">
        <v>50</v>
      </c>
      <c r="G51" s="10">
        <v>45334</v>
      </c>
      <c r="H51" s="11">
        <f>E51*F51</f>
        <v>650</v>
      </c>
    </row>
    <row r="52" spans="1:10" x14ac:dyDescent="0.3">
      <c r="A52" s="8">
        <v>1030</v>
      </c>
      <c r="B52" s="9" t="s">
        <v>62</v>
      </c>
      <c r="C52" s="9" t="s">
        <v>28</v>
      </c>
      <c r="D52" s="9" t="s">
        <v>29</v>
      </c>
      <c r="E52" s="8">
        <v>32</v>
      </c>
      <c r="F52" s="8">
        <v>10</v>
      </c>
      <c r="G52" s="10">
        <v>45335</v>
      </c>
      <c r="H52" s="11">
        <f>E52*F52</f>
        <v>320</v>
      </c>
    </row>
    <row r="53" spans="1:10" x14ac:dyDescent="0.3">
      <c r="A53" s="8">
        <v>1031</v>
      </c>
      <c r="B53" s="9" t="s">
        <v>63</v>
      </c>
      <c r="C53" s="9" t="s">
        <v>31</v>
      </c>
      <c r="D53" s="9" t="s">
        <v>32</v>
      </c>
      <c r="E53" s="8">
        <v>10</v>
      </c>
      <c r="F53" s="8">
        <v>25</v>
      </c>
      <c r="G53" s="10">
        <v>45336</v>
      </c>
      <c r="H53" s="11">
        <f>E53*F53</f>
        <v>250</v>
      </c>
    </row>
    <row r="54" spans="1:10" x14ac:dyDescent="0.3">
      <c r="A54" s="8">
        <v>1032</v>
      </c>
      <c r="B54" s="9" t="s">
        <v>64</v>
      </c>
      <c r="C54" s="9" t="s">
        <v>34</v>
      </c>
      <c r="D54" s="9" t="s">
        <v>36</v>
      </c>
      <c r="E54" s="8">
        <v>18</v>
      </c>
      <c r="F54" s="8">
        <v>5</v>
      </c>
      <c r="G54" s="10">
        <v>45338</v>
      </c>
      <c r="H54" s="11">
        <f>E54*F54</f>
        <v>90</v>
      </c>
    </row>
    <row r="55" spans="1:10" x14ac:dyDescent="0.3">
      <c r="A55" s="8">
        <v>1033</v>
      </c>
      <c r="B55" s="9" t="s">
        <v>65</v>
      </c>
      <c r="C55" s="9" t="s">
        <v>25</v>
      </c>
      <c r="D55" s="9" t="s">
        <v>39</v>
      </c>
      <c r="E55" s="8">
        <v>22</v>
      </c>
      <c r="F55" s="8">
        <v>8</v>
      </c>
      <c r="G55" s="10">
        <v>45339</v>
      </c>
      <c r="H55" s="11">
        <f>E55*F55</f>
        <v>176</v>
      </c>
    </row>
    <row r="56" spans="1:10" x14ac:dyDescent="0.3">
      <c r="A56" s="8">
        <v>1034</v>
      </c>
      <c r="B56" s="9" t="s">
        <v>66</v>
      </c>
      <c r="C56" s="9" t="s">
        <v>28</v>
      </c>
      <c r="D56" s="9" t="s">
        <v>26</v>
      </c>
      <c r="E56" s="8">
        <v>17</v>
      </c>
      <c r="F56" s="8">
        <v>50</v>
      </c>
      <c r="G56" s="10">
        <v>45340</v>
      </c>
      <c r="H56" s="11">
        <f>E56*F56</f>
        <v>850</v>
      </c>
    </row>
    <row r="57" spans="1:10" x14ac:dyDescent="0.3">
      <c r="A57" s="8">
        <v>1035</v>
      </c>
      <c r="B57" s="9" t="s">
        <v>67</v>
      </c>
      <c r="C57" s="9" t="s">
        <v>31</v>
      </c>
      <c r="D57" s="9" t="s">
        <v>29</v>
      </c>
      <c r="E57" s="8">
        <v>19</v>
      </c>
      <c r="F57" s="8">
        <v>10</v>
      </c>
      <c r="G57" s="10">
        <v>45341</v>
      </c>
      <c r="H57" s="11">
        <f>E57*F57</f>
        <v>190</v>
      </c>
    </row>
    <row r="58" spans="1:10" x14ac:dyDescent="0.3">
      <c r="A58" s="8">
        <v>1036</v>
      </c>
      <c r="B58" s="9" t="s">
        <v>68</v>
      </c>
      <c r="C58" s="9" t="s">
        <v>34</v>
      </c>
      <c r="D58" s="9" t="s">
        <v>32</v>
      </c>
      <c r="E58" s="8">
        <v>15</v>
      </c>
      <c r="F58" s="8">
        <v>25</v>
      </c>
      <c r="G58" s="10">
        <v>45343</v>
      </c>
      <c r="H58" s="11">
        <f>E58*F58</f>
        <v>375</v>
      </c>
    </row>
    <row r="59" spans="1:10" x14ac:dyDescent="0.3">
      <c r="A59" s="8">
        <v>1037</v>
      </c>
      <c r="B59" s="9" t="s">
        <v>69</v>
      </c>
      <c r="C59" s="9" t="s">
        <v>25</v>
      </c>
      <c r="D59" s="9" t="s">
        <v>36</v>
      </c>
      <c r="E59" s="8">
        <v>28</v>
      </c>
      <c r="F59" s="8">
        <v>5</v>
      </c>
      <c r="G59" s="10">
        <v>45344</v>
      </c>
      <c r="H59" s="11">
        <f>E59*F59</f>
        <v>140</v>
      </c>
    </row>
    <row r="60" spans="1:10" x14ac:dyDescent="0.3">
      <c r="A60" s="8">
        <v>1038</v>
      </c>
      <c r="B60" s="9" t="s">
        <v>70</v>
      </c>
      <c r="C60" s="9" t="s">
        <v>28</v>
      </c>
      <c r="D60" s="9" t="s">
        <v>39</v>
      </c>
      <c r="E60" s="8">
        <v>24</v>
      </c>
      <c r="F60" s="8">
        <v>8</v>
      </c>
      <c r="G60" s="10">
        <v>45345</v>
      </c>
      <c r="H60" s="11">
        <f>E60*F60</f>
        <v>192</v>
      </c>
    </row>
    <row r="61" spans="1:10" x14ac:dyDescent="0.3">
      <c r="A61" s="8">
        <v>1039</v>
      </c>
      <c r="B61" s="9" t="s">
        <v>71</v>
      </c>
      <c r="C61" s="9" t="s">
        <v>31</v>
      </c>
      <c r="D61" s="9" t="s">
        <v>26</v>
      </c>
      <c r="E61" s="8">
        <v>16</v>
      </c>
      <c r="F61" s="8">
        <v>50</v>
      </c>
      <c r="G61" s="10">
        <v>45347</v>
      </c>
      <c r="H61" s="11">
        <f>E61*F61</f>
        <v>800</v>
      </c>
    </row>
    <row r="62" spans="1:10" x14ac:dyDescent="0.3">
      <c r="A62" s="8">
        <v>1040</v>
      </c>
      <c r="B62" s="9" t="s">
        <v>72</v>
      </c>
      <c r="C62" s="9" t="s">
        <v>34</v>
      </c>
      <c r="D62" s="9" t="s">
        <v>29</v>
      </c>
      <c r="E62" s="8">
        <v>27</v>
      </c>
      <c r="F62" s="8">
        <v>10</v>
      </c>
      <c r="G62" s="10">
        <v>45348</v>
      </c>
      <c r="H62" s="11">
        <f>E62*F62</f>
        <v>270</v>
      </c>
    </row>
    <row r="63" spans="1:10" x14ac:dyDescent="0.3">
      <c r="A63" s="8">
        <v>1041</v>
      </c>
      <c r="B63" s="9" t="s">
        <v>73</v>
      </c>
      <c r="C63" s="9" t="s">
        <v>25</v>
      </c>
      <c r="D63" s="9" t="s">
        <v>32</v>
      </c>
      <c r="E63" s="8">
        <v>21</v>
      </c>
      <c r="F63" s="8">
        <v>25</v>
      </c>
      <c r="G63" s="10">
        <v>45349</v>
      </c>
      <c r="H63" s="11">
        <f>E63*F63</f>
        <v>525</v>
      </c>
    </row>
    <row r="64" spans="1:10" x14ac:dyDescent="0.3">
      <c r="A64" s="8">
        <v>1042</v>
      </c>
      <c r="B64" s="9" t="s">
        <v>74</v>
      </c>
      <c r="C64" s="9" t="s">
        <v>28</v>
      </c>
      <c r="D64" s="9" t="s">
        <v>36</v>
      </c>
      <c r="E64" s="8">
        <v>30</v>
      </c>
      <c r="F64" s="8">
        <v>5</v>
      </c>
      <c r="G64" s="10">
        <v>45350</v>
      </c>
      <c r="H64" s="11">
        <f>E64*F64</f>
        <v>150</v>
      </c>
    </row>
    <row r="65" spans="1:8" x14ac:dyDescent="0.3">
      <c r="A65" s="8">
        <v>1043</v>
      </c>
      <c r="B65" s="9" t="s">
        <v>75</v>
      </c>
      <c r="C65" s="9" t="s">
        <v>31</v>
      </c>
      <c r="D65" s="9" t="s">
        <v>39</v>
      </c>
      <c r="E65" s="8">
        <v>26</v>
      </c>
      <c r="F65" s="8">
        <v>8</v>
      </c>
      <c r="G65" s="10">
        <v>45352</v>
      </c>
      <c r="H65" s="11">
        <f>E65*F65</f>
        <v>208</v>
      </c>
    </row>
    <row r="66" spans="1:8" x14ac:dyDescent="0.3">
      <c r="A66" s="8">
        <v>1044</v>
      </c>
      <c r="B66" s="9" t="s">
        <v>76</v>
      </c>
      <c r="C66" s="9" t="s">
        <v>34</v>
      </c>
      <c r="D66" s="9" t="s">
        <v>26</v>
      </c>
      <c r="E66" s="8">
        <v>14</v>
      </c>
      <c r="F66" s="8">
        <v>50</v>
      </c>
      <c r="G66" s="10">
        <v>45353</v>
      </c>
      <c r="H66" s="11">
        <f>E66*F66</f>
        <v>700</v>
      </c>
    </row>
    <row r="67" spans="1:8" x14ac:dyDescent="0.3">
      <c r="A67" s="8">
        <v>1045</v>
      </c>
      <c r="B67" s="9" t="s">
        <v>77</v>
      </c>
      <c r="C67" s="9" t="s">
        <v>25</v>
      </c>
      <c r="D67" s="9" t="s">
        <v>29</v>
      </c>
      <c r="E67" s="8">
        <v>20</v>
      </c>
      <c r="F67" s="8">
        <v>10</v>
      </c>
      <c r="G67" s="10">
        <v>45354</v>
      </c>
      <c r="H67" s="11">
        <f>E67*F67</f>
        <v>200</v>
      </c>
    </row>
    <row r="68" spans="1:8" x14ac:dyDescent="0.3">
      <c r="A68" s="8">
        <v>1046</v>
      </c>
      <c r="B68" s="9" t="s">
        <v>78</v>
      </c>
      <c r="C68" s="9" t="s">
        <v>28</v>
      </c>
      <c r="D68" s="9" t="s">
        <v>32</v>
      </c>
      <c r="E68" s="8">
        <v>17</v>
      </c>
      <c r="F68" s="8">
        <v>25</v>
      </c>
      <c r="G68" s="10">
        <v>45355</v>
      </c>
      <c r="H68" s="11">
        <f>E68*F68</f>
        <v>425</v>
      </c>
    </row>
    <row r="69" spans="1:8" x14ac:dyDescent="0.3">
      <c r="A69" s="8">
        <v>1047</v>
      </c>
      <c r="B69" s="9" t="s">
        <v>79</v>
      </c>
      <c r="C69" s="9" t="s">
        <v>31</v>
      </c>
      <c r="D69" s="9" t="s">
        <v>36</v>
      </c>
      <c r="E69" s="8">
        <v>19</v>
      </c>
      <c r="F69" s="8">
        <v>5</v>
      </c>
      <c r="G69" s="10">
        <v>45356</v>
      </c>
      <c r="H69" s="11">
        <f>E69*F69</f>
        <v>95</v>
      </c>
    </row>
    <row r="70" spans="1:8" x14ac:dyDescent="0.3">
      <c r="A70" s="8">
        <v>1048</v>
      </c>
      <c r="B70" s="9" t="s">
        <v>80</v>
      </c>
      <c r="C70" s="9" t="s">
        <v>34</v>
      </c>
      <c r="D70" s="9" t="s">
        <v>39</v>
      </c>
      <c r="E70" s="8">
        <v>32</v>
      </c>
      <c r="F70" s="8">
        <v>8</v>
      </c>
      <c r="G70" s="10">
        <v>45357</v>
      </c>
      <c r="H70" s="11">
        <f>E70*F70</f>
        <v>256</v>
      </c>
    </row>
    <row r="71" spans="1:8" x14ac:dyDescent="0.3">
      <c r="A71" s="8">
        <v>1049</v>
      </c>
      <c r="B71" s="9" t="s">
        <v>81</v>
      </c>
      <c r="C71" s="9" t="s">
        <v>25</v>
      </c>
      <c r="D71" s="9" t="s">
        <v>26</v>
      </c>
      <c r="E71" s="8">
        <v>12</v>
      </c>
      <c r="F71" s="8">
        <v>50</v>
      </c>
      <c r="G71" s="10">
        <v>45358</v>
      </c>
      <c r="H71" s="11">
        <f>E71*F71</f>
        <v>600</v>
      </c>
    </row>
    <row r="72" spans="1:8" x14ac:dyDescent="0.3">
      <c r="A72" s="8">
        <v>1050</v>
      </c>
      <c r="B72" s="9" t="s">
        <v>82</v>
      </c>
      <c r="C72" s="9" t="s">
        <v>28</v>
      </c>
      <c r="D72" s="9" t="s">
        <v>29</v>
      </c>
      <c r="E72" s="8">
        <v>25</v>
      </c>
      <c r="F72" s="8">
        <v>10</v>
      </c>
      <c r="G72" s="10">
        <v>45359</v>
      </c>
      <c r="H72" s="11">
        <f>E72*F72</f>
        <v>250</v>
      </c>
    </row>
    <row r="74" spans="1:8" ht="43.2" x14ac:dyDescent="0.3">
      <c r="A74" s="18" t="s">
        <v>93</v>
      </c>
      <c r="B74" s="9" t="s">
        <v>94</v>
      </c>
      <c r="D74" s="1" t="s">
        <v>97</v>
      </c>
      <c r="E74">
        <f>COUNTA(B23:B72)</f>
        <v>50</v>
      </c>
    </row>
    <row r="75" spans="1:8" ht="28.8" x14ac:dyDescent="0.3">
      <c r="A75" s="18" t="s">
        <v>95</v>
      </c>
      <c r="B75" s="9" t="s">
        <v>96</v>
      </c>
    </row>
    <row r="76" spans="1:8" x14ac:dyDescent="0.3">
      <c r="A76" t="s">
        <v>84</v>
      </c>
    </row>
    <row r="77" spans="1:8" x14ac:dyDescent="0.3">
      <c r="A77" t="s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Tripathi</dc:creator>
  <cp:lastModifiedBy>Ananya Tripathi</cp:lastModifiedBy>
  <dcterms:created xsi:type="dcterms:W3CDTF">2026-01-08T09:43:01Z</dcterms:created>
  <dcterms:modified xsi:type="dcterms:W3CDTF">2026-01-08T11:56:20Z</dcterms:modified>
</cp:coreProperties>
</file>